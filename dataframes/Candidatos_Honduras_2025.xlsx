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Users\eduardo.bustos\Documents\HND\"/>
    </mc:Choice>
  </mc:AlternateContent>
  <bookViews>
    <workbookView xWindow="0" yWindow="0" windowWidth="23040" windowHeight="8520"/>
  </bookViews>
  <sheets>
    <sheet name="Hoja1" sheetId="1" r:id="rId1"/>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G4" i="1" l="1"/>
  <c r="AG9" i="1"/>
  <c r="AF9" i="1"/>
  <c r="Y11" i="1"/>
  <c r="C11" i="1"/>
  <c r="AF8" i="1"/>
  <c r="C8" i="1"/>
  <c r="AE2" i="1"/>
  <c r="AF2" i="1"/>
  <c r="AD2" i="1"/>
  <c r="C2" i="1"/>
  <c r="AE14" i="1" l="1"/>
  <c r="AC14" i="1"/>
  <c r="C13" i="1"/>
  <c r="AK12" i="1"/>
  <c r="AM12" i="1"/>
  <c r="AN12" i="1"/>
  <c r="AK13" i="1"/>
  <c r="AL13" i="1"/>
  <c r="AM13" i="1"/>
  <c r="AN13" i="1"/>
  <c r="AK14" i="1"/>
  <c r="AL14" i="1"/>
  <c r="AM14" i="1"/>
  <c r="AN14" i="1"/>
  <c r="AO14" i="1"/>
  <c r="AH13" i="1"/>
  <c r="AO13" i="1" s="1"/>
  <c r="AF13" i="1"/>
  <c r="AE13" i="1"/>
  <c r="AH12" i="1"/>
  <c r="AO12" i="1" s="1"/>
  <c r="AC12" i="1"/>
  <c r="AL12" i="1" s="1"/>
  <c r="AK11" i="1"/>
  <c r="AJ11" i="1" s="1"/>
  <c r="AH10" i="1"/>
  <c r="AE10" i="1"/>
  <c r="AK9" i="1"/>
  <c r="AL9" i="1"/>
  <c r="AM9" i="1"/>
  <c r="AN9" i="1"/>
  <c r="AO9" i="1"/>
  <c r="AK10" i="1"/>
  <c r="AL10" i="1"/>
  <c r="AM10" i="1"/>
  <c r="AN10" i="1"/>
  <c r="AO10" i="1"/>
  <c r="AL11" i="1"/>
  <c r="AM11" i="1"/>
  <c r="AN11" i="1"/>
  <c r="AO11" i="1"/>
  <c r="AD8" i="1"/>
  <c r="AM8" i="1" s="1"/>
  <c r="AC8" i="1"/>
  <c r="AL8" i="1" s="1"/>
  <c r="AH7" i="1"/>
  <c r="AO7" i="1" s="1"/>
  <c r="AE7" i="1"/>
  <c r="AC7" i="1"/>
  <c r="AL7" i="1" s="1"/>
  <c r="AB7" i="1"/>
  <c r="Y7" i="1"/>
  <c r="C9" i="1"/>
  <c r="C10" i="1"/>
  <c r="C12" i="1"/>
  <c r="C14" i="1"/>
  <c r="C7" i="1"/>
  <c r="AE4" i="1"/>
  <c r="AM4" i="1" s="1"/>
  <c r="Y4" i="1"/>
  <c r="AF6" i="1"/>
  <c r="AN6" i="1" s="1"/>
  <c r="AE6" i="1"/>
  <c r="AD6" i="1"/>
  <c r="AC6" i="1"/>
  <c r="Y6" i="1"/>
  <c r="AF5" i="1"/>
  <c r="AN5" i="1" s="1"/>
  <c r="AE5" i="1"/>
  <c r="AM5" i="1" s="1"/>
  <c r="X5" i="1"/>
  <c r="AK5" i="1" s="1"/>
  <c r="AO3" i="1"/>
  <c r="AK4" i="1"/>
  <c r="AL4" i="1"/>
  <c r="AN4" i="1"/>
  <c r="AO4" i="1"/>
  <c r="AL5" i="1"/>
  <c r="AO5" i="1"/>
  <c r="AK6" i="1"/>
  <c r="AL6" i="1"/>
  <c r="AO6" i="1"/>
  <c r="AK7" i="1"/>
  <c r="AM7" i="1"/>
  <c r="AN7" i="1"/>
  <c r="AK8" i="1"/>
  <c r="AN8" i="1"/>
  <c r="AO8" i="1"/>
  <c r="AO2" i="1"/>
  <c r="AL2" i="1"/>
  <c r="AK2" i="1"/>
  <c r="AF3" i="1"/>
  <c r="AN3" i="1" s="1"/>
  <c r="AE3" i="1"/>
  <c r="AM3" i="1" s="1"/>
  <c r="AB3" i="1"/>
  <c r="AL3" i="1" s="1"/>
  <c r="Y3" i="1"/>
  <c r="AK3" i="1" s="1"/>
  <c r="AM2" i="1"/>
  <c r="AN2" i="1"/>
  <c r="AJ13" i="1" l="1"/>
  <c r="AM6" i="1"/>
  <c r="AJ12" i="1"/>
  <c r="AJ14" i="1"/>
  <c r="AJ10" i="1"/>
  <c r="AJ9" i="1"/>
  <c r="AJ8" i="1"/>
  <c r="AJ2" i="1"/>
  <c r="AJ7" i="1"/>
  <c r="AJ3" i="1"/>
  <c r="AJ4" i="1"/>
  <c r="AJ6" i="1"/>
  <c r="AJ5" i="1"/>
  <c r="C3" i="1"/>
  <c r="C4" i="1"/>
  <c r="C5" i="1"/>
  <c r="C6" i="1"/>
</calcChain>
</file>

<file path=xl/sharedStrings.xml><?xml version="1.0" encoding="utf-8"?>
<sst xmlns="http://schemas.openxmlformats.org/spreadsheetml/2006/main" count="172" uniqueCount="120">
  <si>
    <t>Nombre</t>
  </si>
  <si>
    <t>Ano_nacim</t>
  </si>
  <si>
    <t>Edad_contienda</t>
  </si>
  <si>
    <t>Genero</t>
  </si>
  <si>
    <t>Coalición</t>
  </si>
  <si>
    <t>Partido</t>
  </si>
  <si>
    <t>Activo</t>
  </si>
  <si>
    <t>Presidencia</t>
  </si>
  <si>
    <t>Vicepresidencia</t>
  </si>
  <si>
    <t>Ministerio</t>
  </si>
  <si>
    <t>Gobernatura</t>
  </si>
  <si>
    <t>Ejercito</t>
  </si>
  <si>
    <t>Legislatura</t>
  </si>
  <si>
    <t>Alcaldia</t>
  </si>
  <si>
    <t>Partidos_Politicos</t>
  </si>
  <si>
    <t>Empresas</t>
  </si>
  <si>
    <t>Sociedad_Civil</t>
  </si>
  <si>
    <t>Mov_Insurgentes</t>
  </si>
  <si>
    <t>Religion</t>
  </si>
  <si>
    <t>kb</t>
  </si>
  <si>
    <t>Intra</t>
  </si>
  <si>
    <t>Para</t>
  </si>
  <si>
    <t>Sub</t>
  </si>
  <si>
    <t>Exa</t>
  </si>
  <si>
    <t>Ana</t>
  </si>
  <si>
    <t>Presidencia_txt</t>
  </si>
  <si>
    <t>Vicepresidencia_txt</t>
  </si>
  <si>
    <t>Ministerio_txt</t>
  </si>
  <si>
    <t>Gobernatura_txt</t>
  </si>
  <si>
    <t>Ejercito_txt</t>
  </si>
  <si>
    <t>Suprema Corte_txt</t>
  </si>
  <si>
    <t>Legislatura_txt</t>
  </si>
  <si>
    <t>Alcaldia_txt</t>
  </si>
  <si>
    <t>Partidos_Politicos_txt</t>
  </si>
  <si>
    <t>Empresas_txt</t>
  </si>
  <si>
    <t>Sociedad_Civil_txt</t>
  </si>
  <si>
    <t>Mov_Insurgentes_txt</t>
  </si>
  <si>
    <t>Religion_txt</t>
  </si>
  <si>
    <t>Nelson Avila</t>
  </si>
  <si>
    <t>Municipio</t>
  </si>
  <si>
    <t>Departamento</t>
  </si>
  <si>
    <t>Mario Enrique Rivera Callejas</t>
  </si>
  <si>
    <t>Rixi Ramona Moncada Godoy</t>
  </si>
  <si>
    <t>M</t>
  </si>
  <si>
    <t>H</t>
  </si>
  <si>
    <t>Talanga</t>
  </si>
  <si>
    <t>Francisco Morazán</t>
  </si>
  <si>
    <t>Libertad y Refundación</t>
  </si>
  <si>
    <t>Si</t>
  </si>
  <si>
    <t>2019-2020 Consejera presidenta del Consejo Nacional Electoral;1993-1999 Jueza de Letras de lo Criminal y también magistrada de la Corte Primera de Apelaciones</t>
  </si>
  <si>
    <t>Tegucigalpa</t>
  </si>
  <si>
    <t>socia fundadora del Instituto de Estudios Comparados en Ciencias Sociales y Penales</t>
  </si>
  <si>
    <t>2024-2025, Secretaria de Defensa, 2022-2024; Secretaria de Finanzas de Xiomara Castro; 2008-2009, Gerente de la Empresa Nacional de Energía Eléctrica de Manuel Zelaya, 2006-2008, Secretaria del Trabajo y Seguridad Social de Manuel Zelaya;  2006, su esposo Enrique Arias, cercano al expresidente Carlos Flores Facussé y muy bien posicionado en el Partido Liberal, logró colocar a Moncada como secretaria de Trabajo del recién iniciado gobierno de Manuel Zelaya. Desde allí se le vinculó con "Los Patricios", el círculo cercano del presidente Zelaya; De 2006 a 2008, Moncada fue además presidenta de las juntas directivas del Instituto Nacional de Formación Profesional (INFOP), del Instituto Hondureño de Seguridad Social (IHSS) y del Instituto Nacional de Jubilaciones y Pensiones de los Empleados y Funcionarios del Poder Ejecutivo (INJUPEMP)</t>
  </si>
  <si>
    <t>Subcoordinadora general del Partido Libertad y Refundación; Fue una de las fundadoras del Frente Nacional de Resistencia Popular, que exigió el retorno de Zelaya al poder y del cual surgiría en 2012 el partido Libre; Durante las elecciones de 2013 se desempeñó como representante de Libre ante el extinto Tribunal Supremo Electoral,[9]​ y desde 2017 hasta noviembre de 2019 fue secretaria de actas de este partido;  Estuvo además involucrada en la creación de la Alianza de Oposición contra la Dictadura, de la cual fue secretaria ejecutiva del Consejo Coordinador</t>
  </si>
  <si>
    <t>Democracia Cristiana</t>
  </si>
  <si>
    <t>Innovación y Unidad</t>
  </si>
  <si>
    <t>Liberal</t>
  </si>
  <si>
    <t>¡Vamos Honduras!</t>
  </si>
  <si>
    <t>2022-2024, Primer designado presidencial de Xiomara Castro</t>
  </si>
  <si>
    <t xml:space="preserve">1980 gerente general de Pepsi-Cola; Fue jefe de prensa de la selección de fútbol de Honduras que representó a Honduras en el Mundial de España 82. El 3 de marzo de 1990[8]​[10]​ lanzó el que, hasta la fecha, ha sido uno de los shows televisivos con más audiencia de Honduras: X-0 da Dinero, un programa de concursos con premios en efectivo, el cual sigue transmitiéndose todos los domingos. Ha sido también por varios años presentador y director de programas y eventos especiales como ser el certamen de belleza Miss Honduras o el programa Bailando por un sueño </t>
  </si>
  <si>
    <t>2019-2024; Fundador y Presidente del partido Salvador de Honduras; 2019 Fundador y presidente del Partido Anti Corrupción; 2013;2017:2021 Candidato presidencial por el PAIC</t>
  </si>
  <si>
    <t xml:space="preserve">Nasry Juan Asfura Zablah </t>
  </si>
  <si>
    <t>2010-2014, Diputado nacional por Francisco Morazán</t>
  </si>
  <si>
    <t>2010-2011, Director del Fondo Hondureño de Inversión Social</t>
  </si>
  <si>
    <t>2014 2017:2017-2022, Alcalde de Tegucigalpa y Comayagüela; 2005-2009 Regidor de Distrito Capital</t>
  </si>
  <si>
    <t>Movimiento Papi a la Orden</t>
  </si>
  <si>
    <t>2007 de la empresa Karlane Overseas SA., registrada en Panamá por la firma Alcogal en 2006.</t>
  </si>
  <si>
    <t>Rasel Antonio Tomé Flores</t>
  </si>
  <si>
    <t>Olanchito</t>
  </si>
  <si>
    <t>Yoro</t>
  </si>
  <si>
    <t>No</t>
  </si>
  <si>
    <t>2022-2025, Vicepresidente del Congreso Nacional, 2014-2018, 2022-2025, Diputado Nacional Por Francisco Morazán</t>
  </si>
  <si>
    <t>2006-2008, Director Comisión Nacional de Comunicaciones</t>
  </si>
  <si>
    <t>1995-1999 Juez de la República</t>
  </si>
  <si>
    <t>2005-2001, Partido Liberal de Honduras, 2011-2025, Partido Libertad y Refundación. 2005 trabajó en la campaña de Manuel Zelaya</t>
  </si>
  <si>
    <t>Después de la defenestración de Zelaya en 2009, Tomé fue uno de los pocos que acompañó a Zelaya dentro de la embajada de Brasil. En enero de 2010, ambos salieron con un salvoconducto hacia República Dominicana. Tomé fue uno de los fundadores del Frente Nacional de Resistencia Popular, dentro del cual fue uno de los voceros de Zelaya.</t>
  </si>
  <si>
    <t>Jorge Alberto Zelaya</t>
  </si>
  <si>
    <t>Renovación y Hunidad Nacionalista</t>
  </si>
  <si>
    <t>2022-2026, Diputado por Francisco Morazán, 1994-1998; 2002-2006 Diputado suplente por Francisco Morazán</t>
  </si>
  <si>
    <t>2014-2018, Regidor del Distrito Central</t>
  </si>
  <si>
    <t>Avanza por la Unidad y la Justicia</t>
  </si>
  <si>
    <t>Carlos Urbizo Solis</t>
  </si>
  <si>
    <t>La Ceiba</t>
  </si>
  <si>
    <t>Atlántida</t>
  </si>
  <si>
    <t>2009, apoyó al gobierno interino de Roberto Micheletti</t>
  </si>
  <si>
    <t>1997, sucesor designado de la candidata la presidencia Nora Gunera de Melgar</t>
  </si>
  <si>
    <t>Rescate y Transformación</t>
  </si>
  <si>
    <t>Jorge Luis Cálix Espinal</t>
  </si>
  <si>
    <t>2018-2022, 2022-2025 Diputado por Francisco Morazán, 2022-2025 Presidente del congreso, 2014-2018 diputado suplente</t>
  </si>
  <si>
    <t>Estuvo contra el golpe de Estado de 2009</t>
  </si>
  <si>
    <t>Luis Orlando Zelaya Medrano</t>
  </si>
  <si>
    <t>Juntos Por el Cambio</t>
  </si>
  <si>
    <t>Recuperar Honduras</t>
  </si>
  <si>
    <t>2005-2016, Rector de la Universidad privada UNITEC</t>
  </si>
  <si>
    <t>2017-2021, Presidente del Partido Liberal, 2017 candidato presidencial quedó en 3 lugar</t>
  </si>
  <si>
    <t>el 20 de ese mes pasó a integrar junto a otros líderes de oposición la Coalición de Unidad de Oposición Fuera Dictadura, para expulsar Juan Orlando Hernández del poder.[</t>
  </si>
  <si>
    <t>Maribel Espinoza Turcios</t>
  </si>
  <si>
    <t>Todos por Honduras</t>
  </si>
  <si>
    <t>2022-2026, Diputada por Yoro</t>
  </si>
  <si>
    <t>2017-2020, Vicepresidente del partido Liberal junto con Luis Zelaya que era presidente del partido</t>
  </si>
  <si>
    <t>Suprema_Corte</t>
  </si>
  <si>
    <t>Nacional</t>
  </si>
  <si>
    <t>Libertad y Refundacion</t>
  </si>
  <si>
    <t>2006-2009, Regidor de Tegucigalpa</t>
  </si>
  <si>
    <t>Dueño del Canal Qhubo TV, operado por Sí TV donde también es analista y presentador de noticias. Fundador de la agencia de publicidad Uno Marketing</t>
  </si>
  <si>
    <t>Fue estratega de campañas presidenciales en Honduras (como las de Rafael Leonardo Callejas, Carlos Flores y Ricardo Maduro). Fundó el partido "Cambiemos" pero no alcanzó el registro.  Es hijo de Mario Rivera López, fue presidente del Congreso Nacional entre 1965 y 1971 durante el gobierno del militar Oswaldo López Arellano. Después en el comienzo de la llamada «era democrática»  fue diputado de la Asamblea Nacional Constituyente de 1980. Hasta su muerte en marzo de 2009, «El Zorro» –así le llamaba el nacionalismo– se mantuvo como uno de sus principales estrategas y líderes.  También militó por muchos años en ese partido sin tener alguna labor destacada. Por el lado materno, Chano es hijo de Eva Callejas, prima de Rafael Leonardo Callejas (q. e. p. d.), expresidente de Honduras entre 1990 y 1994. Callejas fue señalado en múltiples casos de corrupción en el país, por los que recibió 16 cartas de libertad. El hermano de Chano, Antonio «Toño» Rivera Callejas heredó de su padre el papel de figura referencial del nacionalismo. Ha sido diputado en cinco ocasiones y busca un sexto período en el Congreso Nacional, respaldando la candidatura presidencial de Nasry Asfura.</t>
  </si>
  <si>
    <t>1999, asumió el cargo de director de prensa en Televicentro y en 2014 asumió la dirección de prensa en Azteca Honduras. Desde 2017, ocupa el puesto de jefe de prensa en VTV Honduras</t>
  </si>
  <si>
    <t>Roberto Aníbal Martínez Lozano</t>
  </si>
  <si>
    <t>Pertenece al Partido Nacional desde la década de los 70, inició su actividad política en la campaña de Rafael Leonardo Callejas durante los años 80.</t>
  </si>
  <si>
    <t>2010-2014; Ministro de Energía y Gerente General de la Empresa Nacional Eléctrica 2002-2006, Ministro de Educación y gerente del Servicio Autónomo de Acueductos y Alcantarillados (SANAA).</t>
  </si>
  <si>
    <t>Ana Rosalinda García Caías</t>
  </si>
  <si>
    <t xml:space="preserve">**2014-2022, Primera Dama esposa del presidente Orlando Hernández; Ana Rosalinda García Carías es descendiente, por línea materna (tío abuelo), del general Tiburcio Carías Andino, quien gobernó Honduras bajo el Partido Nacional entre 1932 y 1949.
</t>
  </si>
  <si>
    <t>de la sociedad mercantil Asesores Especializados en Desarrollo Integral S. de R.L. (ASEDI S. de R.L.), un medio periodístico reveló que ella y su ex marido, entonces presidente de Honduras,  2010, la expareja presidencial registró siete empresas y 60 bienes inmuebles por un valor estimado en 7.8 millones de dólares. En total, las familias Hernández Alvarado y García crearon once empresas e inversiones por cerca de 267 millones de lempiras [10.8 millones de dólares] en 109 bienes inmuebles.</t>
  </si>
  <si>
    <t>2022, hace una campaña mediatica para defender a su esposo acusado y enjuiciado por corrupción. Fue fundadora y directora de Fundación para el Desarrollo Integral de Honduras (Fundeih), y directora de Fundación para el Desarrollo Integral de la Mujer Hondureña (Fundeimh) ambas con denuncia de desvío de recursos</t>
  </si>
  <si>
    <t>Innovación y Unidad Socialdemócrata</t>
  </si>
  <si>
    <t>Ha trabajado como ejecutivo en entidades como la Organización de las Naciones Unidas (ONU), el Banco Interamericano de Desarrollo (BID) y el Banco Centroamericano de Integración Económica (BCIE),</t>
  </si>
  <si>
    <t xml:space="preserve"> Fundador del Movimiento 5 de Julio surgido tras el golpe de 2009 contra Manuel Zelaya  y fundador del Partido Migrante en transición a PINU-SD, por el cual es candidato presidencial</t>
  </si>
  <si>
    <t>asesor del gobierno de Manuel Zelaya, comisionado presidencial ante ALBA-Sucre y Banco del ALBA, también coordinación del Plan Trifinio, un proyecto regional impulsado por el fallido Sistema de Integración Centroamericana (SICA) para el desarrollo de zonas fronterizas.</t>
  </si>
  <si>
    <t>Salvatore Alejand César Nasralla Stark</t>
  </si>
  <si>
    <t>2025, presidente del Partido Nacional de Honduras; Candidato presidencial por Movimiento de Unidad y Esperanza 2021 (segundo lugar 36.93%, 2025 Candidato presidencial por Movimiento Papi a la Orden</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</si>
</sst>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0"/>
      <color rgb="FF20212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4"/>
  <sheetViews>
    <sheetView tabSelected="1" zoomScale="96" zoomScaleNormal="96" workbookViewId="0">
      <selection activeCell="A3" sqref="A3"/>
    </sheetView>
  </sheetViews>
  <sheetFormatPr baseColWidth="10" defaultRowHeight="14.4" x14ac:dyDescent="0.3"/>
  <cols>
    <col min="7" max="7" width="13.44140625" customWidth="1"/>
    <col min="8" max="8" width="16.6640625" customWidth="1"/>
  </cols>
  <sheetData>
    <row r="1" spans="1:41" x14ac:dyDescent="0.3">
      <c r="A1" t="s">
        <v>0</v>
      </c>
      <c r="B1" t="s">
        <v>1</v>
      </c>
      <c r="C1" t="s">
        <v>2</v>
      </c>
      <c r="D1" t="s">
        <v>3</v>
      </c>
      <c r="E1" t="s">
        <v>39</v>
      </c>
      <c r="F1" t="s">
        <v>40</v>
      </c>
      <c r="G1" t="s">
        <v>4</v>
      </c>
      <c r="H1" t="s">
        <v>5</v>
      </c>
      <c r="I1" t="s">
        <v>6</v>
      </c>
      <c r="J1" t="s">
        <v>25</v>
      </c>
      <c r="K1" t="s">
        <v>26</v>
      </c>
      <c r="L1" t="s">
        <v>27</v>
      </c>
      <c r="M1" t="s">
        <v>28</v>
      </c>
      <c r="N1" t="s">
        <v>29</v>
      </c>
      <c r="O1" t="s">
        <v>30</v>
      </c>
      <c r="P1" t="s">
        <v>31</v>
      </c>
      <c r="Q1" t="s">
        <v>32</v>
      </c>
      <c r="R1" t="s">
        <v>33</v>
      </c>
      <c r="S1" t="s">
        <v>34</v>
      </c>
      <c r="T1" t="s">
        <v>35</v>
      </c>
      <c r="U1" t="s">
        <v>36</v>
      </c>
      <c r="V1" t="s">
        <v>37</v>
      </c>
      <c r="W1" t="s">
        <v>7</v>
      </c>
      <c r="X1" t="s">
        <v>8</v>
      </c>
      <c r="Y1" t="s">
        <v>9</v>
      </c>
      <c r="Z1" t="s">
        <v>10</v>
      </c>
      <c r="AA1" t="s">
        <v>11</v>
      </c>
      <c r="AB1" t="s">
        <v>100</v>
      </c>
      <c r="AC1" t="s">
        <v>12</v>
      </c>
      <c r="AD1" t="s">
        <v>13</v>
      </c>
      <c r="AE1" t="s">
        <v>14</v>
      </c>
      <c r="AF1" t="s">
        <v>15</v>
      </c>
      <c r="AG1" t="s">
        <v>16</v>
      </c>
      <c r="AH1" t="s">
        <v>17</v>
      </c>
      <c r="AI1" t="s">
        <v>18</v>
      </c>
      <c r="AJ1" t="s">
        <v>19</v>
      </c>
      <c r="AK1" t="s">
        <v>20</v>
      </c>
      <c r="AL1" t="s">
        <v>21</v>
      </c>
      <c r="AM1" t="s">
        <v>22</v>
      </c>
      <c r="AN1" t="s">
        <v>23</v>
      </c>
      <c r="AO1" t="s">
        <v>24</v>
      </c>
    </row>
    <row r="2" spans="1:41" x14ac:dyDescent="0.3">
      <c r="A2" t="s">
        <v>41</v>
      </c>
      <c r="B2">
        <v>1964</v>
      </c>
      <c r="C2">
        <f t="shared" ref="C2:C14" si="0">2025-B2</f>
        <v>61</v>
      </c>
      <c r="D2" t="s">
        <v>44</v>
      </c>
      <c r="E2" t="s">
        <v>50</v>
      </c>
      <c r="F2" t="s">
        <v>46</v>
      </c>
      <c r="G2" t="s">
        <v>54</v>
      </c>
      <c r="H2" t="s">
        <v>54</v>
      </c>
      <c r="I2" t="s">
        <v>48</v>
      </c>
      <c r="Q2" t="s">
        <v>103</v>
      </c>
      <c r="R2" t="s">
        <v>105</v>
      </c>
      <c r="S2" t="s">
        <v>104</v>
      </c>
      <c r="W2">
        <v>0</v>
      </c>
      <c r="X2">
        <v>0</v>
      </c>
      <c r="Y2">
        <v>0</v>
      </c>
      <c r="Z2">
        <v>0</v>
      </c>
      <c r="AA2">
        <v>0</v>
      </c>
      <c r="AB2">
        <v>0</v>
      </c>
      <c r="AC2">
        <v>0</v>
      </c>
      <c r="AD2">
        <f>8*6</f>
        <v>48</v>
      </c>
      <c r="AE2">
        <f>(10+9+6+6+6)*5</f>
        <v>185</v>
      </c>
      <c r="AF2">
        <f>(10+10)*4</f>
        <v>80</v>
      </c>
      <c r="AG2">
        <v>0</v>
      </c>
      <c r="AH2">
        <v>0</v>
      </c>
      <c r="AI2">
        <v>0</v>
      </c>
      <c r="AJ2">
        <f>SUM(AK2:AO2)</f>
        <v>313</v>
      </c>
      <c r="AK2">
        <f>SUM(W2:Y2)</f>
        <v>0</v>
      </c>
      <c r="AL2">
        <f>SUM(Z2:AC2)</f>
        <v>0</v>
      </c>
      <c r="AM2">
        <f>SUM(AD2:AE2)</f>
        <v>233</v>
      </c>
      <c r="AN2">
        <f>SUM(AF2:AG2)</f>
        <v>80</v>
      </c>
      <c r="AO2">
        <f>SUM(AH2:AI2)</f>
        <v>0</v>
      </c>
    </row>
    <row r="3" spans="1:41" x14ac:dyDescent="0.3">
      <c r="A3" s="1" t="s">
        <v>42</v>
      </c>
      <c r="B3">
        <v>1965</v>
      </c>
      <c r="C3">
        <f t="shared" si="0"/>
        <v>60</v>
      </c>
      <c r="D3" t="s">
        <v>43</v>
      </c>
      <c r="E3" t="s">
        <v>45</v>
      </c>
      <c r="F3" t="s">
        <v>46</v>
      </c>
      <c r="G3" t="s">
        <v>47</v>
      </c>
      <c r="H3" t="s">
        <v>102</v>
      </c>
      <c r="I3" t="s">
        <v>48</v>
      </c>
      <c r="L3" t="s">
        <v>52</v>
      </c>
      <c r="O3" t="s">
        <v>49</v>
      </c>
      <c r="R3" t="s">
        <v>53</v>
      </c>
      <c r="S3" t="s">
        <v>51</v>
      </c>
      <c r="W3">
        <v>0</v>
      </c>
      <c r="X3">
        <v>0</v>
      </c>
      <c r="Y3">
        <f>(10+10+8+10+7+7+7+7)*11</f>
        <v>726</v>
      </c>
      <c r="Z3">
        <v>0</v>
      </c>
      <c r="AA3">
        <v>0</v>
      </c>
      <c r="AB3">
        <f>(10+9+9)*8</f>
        <v>224</v>
      </c>
      <c r="AC3">
        <v>0</v>
      </c>
      <c r="AD3">
        <v>0</v>
      </c>
      <c r="AE3">
        <f>(9+10+8+9+9)*5</f>
        <v>225</v>
      </c>
      <c r="AF3">
        <f>10*4</f>
        <v>40</v>
      </c>
      <c r="AG3">
        <v>0</v>
      </c>
      <c r="AH3">
        <v>0</v>
      </c>
      <c r="AI3">
        <v>0</v>
      </c>
      <c r="AJ3">
        <f t="shared" ref="AJ3:AJ8" si="1">SUM(AK3:AO3)</f>
        <v>1215</v>
      </c>
      <c r="AK3">
        <f t="shared" ref="AK3:AK8" si="2">SUM(W3:Y3)</f>
        <v>726</v>
      </c>
      <c r="AL3">
        <f t="shared" ref="AL3:AL8" si="3">SUM(Z3:AC3)</f>
        <v>224</v>
      </c>
      <c r="AM3">
        <f t="shared" ref="AM3:AM8" si="4">SUM(AD3:AE3)</f>
        <v>225</v>
      </c>
      <c r="AN3">
        <f t="shared" ref="AN3:AN8" si="5">SUM(AF3:AG3)</f>
        <v>40</v>
      </c>
      <c r="AO3">
        <f t="shared" ref="AO3:AO8" si="6">SUM(AH3:AI3)</f>
        <v>0</v>
      </c>
    </row>
    <row r="4" spans="1:41" x14ac:dyDescent="0.3">
      <c r="A4" t="s">
        <v>38</v>
      </c>
      <c r="B4">
        <v>1952</v>
      </c>
      <c r="C4">
        <f t="shared" si="0"/>
        <v>73</v>
      </c>
      <c r="D4" t="s">
        <v>44</v>
      </c>
      <c r="E4" t="s">
        <v>50</v>
      </c>
      <c r="F4" t="s">
        <v>46</v>
      </c>
      <c r="G4" t="s">
        <v>55</v>
      </c>
      <c r="H4" t="s">
        <v>114</v>
      </c>
      <c r="I4" t="s">
        <v>48</v>
      </c>
      <c r="L4" t="s">
        <v>117</v>
      </c>
      <c r="R4" t="s">
        <v>116</v>
      </c>
      <c r="T4" t="s">
        <v>115</v>
      </c>
      <c r="W4">
        <v>0</v>
      </c>
      <c r="X4">
        <v>0</v>
      </c>
      <c r="Y4">
        <f>(9+9+8)*11</f>
        <v>286</v>
      </c>
      <c r="Z4">
        <v>0</v>
      </c>
      <c r="AA4">
        <v>0</v>
      </c>
      <c r="AB4">
        <v>0</v>
      </c>
      <c r="AC4">
        <v>0</v>
      </c>
      <c r="AD4">
        <v>0</v>
      </c>
      <c r="AE4">
        <f>(10+10+9)*5</f>
        <v>145</v>
      </c>
      <c r="AF4">
        <v>0</v>
      </c>
      <c r="AG4">
        <f>(10+10+10)*3</f>
        <v>90</v>
      </c>
      <c r="AH4">
        <v>0</v>
      </c>
      <c r="AI4">
        <v>0</v>
      </c>
      <c r="AJ4">
        <f t="shared" si="1"/>
        <v>521</v>
      </c>
      <c r="AK4">
        <f t="shared" si="2"/>
        <v>286</v>
      </c>
      <c r="AL4">
        <f t="shared" si="3"/>
        <v>0</v>
      </c>
      <c r="AM4">
        <f t="shared" si="4"/>
        <v>145</v>
      </c>
      <c r="AN4">
        <f t="shared" si="5"/>
        <v>90</v>
      </c>
      <c r="AO4">
        <f t="shared" si="6"/>
        <v>0</v>
      </c>
    </row>
    <row r="5" spans="1:41" x14ac:dyDescent="0.3">
      <c r="A5" t="s">
        <v>118</v>
      </c>
      <c r="B5">
        <v>1953</v>
      </c>
      <c r="C5">
        <f t="shared" si="0"/>
        <v>72</v>
      </c>
      <c r="D5" t="s">
        <v>44</v>
      </c>
      <c r="E5" t="s">
        <v>50</v>
      </c>
      <c r="F5" t="s">
        <v>46</v>
      </c>
      <c r="G5" t="s">
        <v>57</v>
      </c>
      <c r="H5" t="s">
        <v>56</v>
      </c>
      <c r="I5" t="s">
        <v>48</v>
      </c>
      <c r="K5" t="s">
        <v>58</v>
      </c>
      <c r="R5" t="s">
        <v>60</v>
      </c>
      <c r="S5" t="s">
        <v>59</v>
      </c>
      <c r="W5">
        <v>0</v>
      </c>
      <c r="X5">
        <f>10*12</f>
        <v>120</v>
      </c>
      <c r="Y5">
        <v>0</v>
      </c>
      <c r="Z5">
        <v>0</v>
      </c>
      <c r="AA5">
        <v>0</v>
      </c>
      <c r="AB5">
        <v>0</v>
      </c>
      <c r="AC5">
        <v>0</v>
      </c>
      <c r="AD5">
        <v>0</v>
      </c>
      <c r="AE5">
        <f>(10+10+10+10+9+9+9+9)*5</f>
        <v>380</v>
      </c>
      <c r="AF5">
        <f>(10+8+10+10)*4</f>
        <v>152</v>
      </c>
      <c r="AG5">
        <v>0</v>
      </c>
      <c r="AH5">
        <v>0</v>
      </c>
      <c r="AI5">
        <v>0</v>
      </c>
      <c r="AJ5">
        <f t="shared" si="1"/>
        <v>652</v>
      </c>
      <c r="AK5">
        <f t="shared" si="2"/>
        <v>120</v>
      </c>
      <c r="AL5">
        <f t="shared" si="3"/>
        <v>0</v>
      </c>
      <c r="AM5">
        <f t="shared" si="4"/>
        <v>380</v>
      </c>
      <c r="AN5">
        <f t="shared" si="5"/>
        <v>152</v>
      </c>
      <c r="AO5">
        <f t="shared" si="6"/>
        <v>0</v>
      </c>
    </row>
    <row r="6" spans="1:41" x14ac:dyDescent="0.3">
      <c r="A6" t="s">
        <v>61</v>
      </c>
      <c r="B6">
        <v>1958</v>
      </c>
      <c r="C6">
        <f t="shared" si="0"/>
        <v>67</v>
      </c>
      <c r="D6" t="s">
        <v>44</v>
      </c>
      <c r="E6" t="s">
        <v>50</v>
      </c>
      <c r="F6" t="s">
        <v>46</v>
      </c>
      <c r="G6" t="s">
        <v>65</v>
      </c>
      <c r="H6" t="s">
        <v>101</v>
      </c>
      <c r="I6" t="s">
        <v>48</v>
      </c>
      <c r="L6" t="s">
        <v>63</v>
      </c>
      <c r="P6" t="s">
        <v>62</v>
      </c>
      <c r="Q6" t="s">
        <v>64</v>
      </c>
      <c r="R6" t="s">
        <v>119</v>
      </c>
      <c r="S6" t="s">
        <v>66</v>
      </c>
      <c r="W6">
        <v>0</v>
      </c>
      <c r="X6">
        <v>0</v>
      </c>
      <c r="Y6">
        <f>9*11</f>
        <v>99</v>
      </c>
      <c r="Z6">
        <v>0</v>
      </c>
      <c r="AA6">
        <v>0</v>
      </c>
      <c r="AB6">
        <v>0</v>
      </c>
      <c r="AC6">
        <f>8*7</f>
        <v>56</v>
      </c>
      <c r="AD6">
        <f>(10+10+8)*6</f>
        <v>168</v>
      </c>
      <c r="AE6">
        <f>(10+9+9)*5</f>
        <v>140</v>
      </c>
      <c r="AF6">
        <f>10*4</f>
        <v>40</v>
      </c>
      <c r="AG6">
        <v>0</v>
      </c>
      <c r="AH6">
        <v>0</v>
      </c>
      <c r="AI6">
        <v>0</v>
      </c>
      <c r="AJ6">
        <f t="shared" si="1"/>
        <v>503</v>
      </c>
      <c r="AK6">
        <f t="shared" si="2"/>
        <v>99</v>
      </c>
      <c r="AL6">
        <f t="shared" si="3"/>
        <v>56</v>
      </c>
      <c r="AM6">
        <f t="shared" si="4"/>
        <v>308</v>
      </c>
      <c r="AN6">
        <f t="shared" si="5"/>
        <v>40</v>
      </c>
      <c r="AO6">
        <f t="shared" si="6"/>
        <v>0</v>
      </c>
    </row>
    <row r="7" spans="1:41" x14ac:dyDescent="0.3">
      <c r="A7" t="s">
        <v>67</v>
      </c>
      <c r="B7">
        <v>1972</v>
      </c>
      <c r="C7">
        <f t="shared" si="0"/>
        <v>53</v>
      </c>
      <c r="D7" t="s">
        <v>44</v>
      </c>
      <c r="E7" t="s">
        <v>68</v>
      </c>
      <c r="F7" t="s">
        <v>69</v>
      </c>
      <c r="G7" t="s">
        <v>47</v>
      </c>
      <c r="H7" t="s">
        <v>102</v>
      </c>
      <c r="I7" t="s">
        <v>70</v>
      </c>
      <c r="L7" t="s">
        <v>72</v>
      </c>
      <c r="O7" t="s">
        <v>73</v>
      </c>
      <c r="P7" t="s">
        <v>71</v>
      </c>
      <c r="R7" t="s">
        <v>74</v>
      </c>
      <c r="U7" t="s">
        <v>75</v>
      </c>
      <c r="W7">
        <v>0</v>
      </c>
      <c r="X7">
        <v>0</v>
      </c>
      <c r="Y7">
        <f>8*11</f>
        <v>88</v>
      </c>
      <c r="Z7">
        <v>0</v>
      </c>
      <c r="AA7">
        <v>0</v>
      </c>
      <c r="AB7">
        <f>9*8</f>
        <v>72</v>
      </c>
      <c r="AC7">
        <f>(8+8+9)*7</f>
        <v>175</v>
      </c>
      <c r="AD7">
        <v>0</v>
      </c>
      <c r="AE7">
        <f>(8+8)*5</f>
        <v>80</v>
      </c>
      <c r="AF7">
        <v>0</v>
      </c>
      <c r="AG7">
        <v>0</v>
      </c>
      <c r="AH7">
        <f>9*2</f>
        <v>18</v>
      </c>
      <c r="AI7">
        <v>0</v>
      </c>
      <c r="AJ7">
        <f t="shared" si="1"/>
        <v>433</v>
      </c>
      <c r="AK7">
        <f t="shared" si="2"/>
        <v>88</v>
      </c>
      <c r="AL7">
        <f t="shared" si="3"/>
        <v>247</v>
      </c>
      <c r="AM7">
        <f t="shared" si="4"/>
        <v>80</v>
      </c>
      <c r="AN7">
        <f t="shared" si="5"/>
        <v>0</v>
      </c>
      <c r="AO7">
        <f t="shared" si="6"/>
        <v>18</v>
      </c>
    </row>
    <row r="8" spans="1:41" x14ac:dyDescent="0.3">
      <c r="A8" t="s">
        <v>76</v>
      </c>
      <c r="B8">
        <v>1962</v>
      </c>
      <c r="C8">
        <f t="shared" si="0"/>
        <v>63</v>
      </c>
      <c r="D8" t="s">
        <v>44</v>
      </c>
      <c r="E8" t="s">
        <v>68</v>
      </c>
      <c r="F8" t="s">
        <v>69</v>
      </c>
      <c r="G8" t="s">
        <v>77</v>
      </c>
      <c r="H8" t="s">
        <v>101</v>
      </c>
      <c r="I8" t="s">
        <v>70</v>
      </c>
      <c r="P8" t="s">
        <v>78</v>
      </c>
      <c r="Q8" t="s">
        <v>79</v>
      </c>
      <c r="S8" t="s">
        <v>106</v>
      </c>
      <c r="W8">
        <v>0</v>
      </c>
      <c r="X8">
        <v>0</v>
      </c>
      <c r="Y8">
        <v>0</v>
      </c>
      <c r="Z8">
        <v>0</v>
      </c>
      <c r="AA8">
        <v>0</v>
      </c>
      <c r="AB8">
        <v>0</v>
      </c>
      <c r="AC8">
        <f>(8+6+6)*7</f>
        <v>140</v>
      </c>
      <c r="AD8">
        <f>8*6</f>
        <v>48</v>
      </c>
      <c r="AE8">
        <v>0</v>
      </c>
      <c r="AF8">
        <f>(7+7+7)*4</f>
        <v>84</v>
      </c>
      <c r="AG8">
        <v>0</v>
      </c>
      <c r="AH8">
        <v>0</v>
      </c>
      <c r="AI8">
        <v>0</v>
      </c>
      <c r="AJ8">
        <f t="shared" si="1"/>
        <v>272</v>
      </c>
      <c r="AK8">
        <f t="shared" si="2"/>
        <v>0</v>
      </c>
      <c r="AL8">
        <f t="shared" si="3"/>
        <v>140</v>
      </c>
      <c r="AM8">
        <f t="shared" si="4"/>
        <v>48</v>
      </c>
      <c r="AN8">
        <f t="shared" si="5"/>
        <v>84</v>
      </c>
      <c r="AO8">
        <f t="shared" si="6"/>
        <v>0</v>
      </c>
    </row>
    <row r="9" spans="1:41" ht="16.8" customHeight="1" x14ac:dyDescent="0.3">
      <c r="A9" t="s">
        <v>110</v>
      </c>
      <c r="B9">
        <v>1968</v>
      </c>
      <c r="C9">
        <f t="shared" si="0"/>
        <v>57</v>
      </c>
      <c r="D9" t="s">
        <v>43</v>
      </c>
      <c r="E9" t="s">
        <v>50</v>
      </c>
      <c r="F9" t="s">
        <v>46</v>
      </c>
      <c r="G9" t="s">
        <v>80</v>
      </c>
      <c r="H9" t="s">
        <v>101</v>
      </c>
      <c r="I9" t="s">
        <v>70</v>
      </c>
      <c r="J9" s="2" t="s">
        <v>111</v>
      </c>
      <c r="S9" t="s">
        <v>112</v>
      </c>
      <c r="T9" t="s">
        <v>113</v>
      </c>
      <c r="W9">
        <v>0</v>
      </c>
      <c r="X9">
        <v>0</v>
      </c>
      <c r="Y9">
        <v>0</v>
      </c>
      <c r="Z9">
        <v>0</v>
      </c>
      <c r="AA9">
        <v>0</v>
      </c>
      <c r="AB9">
        <v>0</v>
      </c>
      <c r="AC9">
        <v>0</v>
      </c>
      <c r="AD9">
        <v>0</v>
      </c>
      <c r="AE9">
        <v>0</v>
      </c>
      <c r="AF9">
        <f>(10+10+10+10+10+10+10)*4</f>
        <v>280</v>
      </c>
      <c r="AG9">
        <f>(10+10)*3</f>
        <v>60</v>
      </c>
      <c r="AH9">
        <v>0</v>
      </c>
      <c r="AI9">
        <v>0</v>
      </c>
      <c r="AJ9">
        <f t="shared" ref="AJ9:AJ11" si="7">SUM(AK9:AO9)</f>
        <v>340</v>
      </c>
      <c r="AK9">
        <f t="shared" ref="AK9:AK11" si="8">SUM(W9:Y9)</f>
        <v>0</v>
      </c>
      <c r="AL9">
        <f t="shared" ref="AL9:AL11" si="9">SUM(Z9:AC9)</f>
        <v>0</v>
      </c>
      <c r="AM9">
        <f t="shared" ref="AM9:AM11" si="10">SUM(AD9:AE9)</f>
        <v>0</v>
      </c>
      <c r="AN9">
        <f t="shared" ref="AN9:AN11" si="11">SUM(AF9:AG9)</f>
        <v>340</v>
      </c>
      <c r="AO9">
        <f t="shared" ref="AO9:AO11" si="12">SUM(AH9:AI9)</f>
        <v>0</v>
      </c>
    </row>
    <row r="10" spans="1:41" x14ac:dyDescent="0.3">
      <c r="A10" t="s">
        <v>81</v>
      </c>
      <c r="B10">
        <v>1943</v>
      </c>
      <c r="C10">
        <f t="shared" si="0"/>
        <v>82</v>
      </c>
      <c r="D10" t="s">
        <v>44</v>
      </c>
      <c r="E10" t="s">
        <v>82</v>
      </c>
      <c r="F10" t="s">
        <v>83</v>
      </c>
      <c r="G10" t="s">
        <v>86</v>
      </c>
      <c r="H10" t="s">
        <v>101</v>
      </c>
      <c r="I10" t="s">
        <v>70</v>
      </c>
      <c r="J10" s="2"/>
      <c r="R10" t="s">
        <v>85</v>
      </c>
      <c r="U10" t="s">
        <v>84</v>
      </c>
      <c r="W10">
        <v>0</v>
      </c>
      <c r="X10">
        <v>0</v>
      </c>
      <c r="Y10">
        <v>0</v>
      </c>
      <c r="Z10">
        <v>0</v>
      </c>
      <c r="AA10">
        <v>0</v>
      </c>
      <c r="AB10">
        <v>0</v>
      </c>
      <c r="AC10">
        <v>0</v>
      </c>
      <c r="AD10">
        <v>0</v>
      </c>
      <c r="AE10">
        <f>8*5</f>
        <v>40</v>
      </c>
      <c r="AF10">
        <v>0</v>
      </c>
      <c r="AG10">
        <v>0</v>
      </c>
      <c r="AH10">
        <f>8*2</f>
        <v>16</v>
      </c>
      <c r="AI10">
        <v>0</v>
      </c>
      <c r="AJ10">
        <f t="shared" si="7"/>
        <v>56</v>
      </c>
      <c r="AK10">
        <f t="shared" si="8"/>
        <v>0</v>
      </c>
      <c r="AL10">
        <f t="shared" si="9"/>
        <v>0</v>
      </c>
      <c r="AM10">
        <f t="shared" si="10"/>
        <v>40</v>
      </c>
      <c r="AN10">
        <f t="shared" si="11"/>
        <v>0</v>
      </c>
      <c r="AO10">
        <f t="shared" si="12"/>
        <v>16</v>
      </c>
    </row>
    <row r="11" spans="1:41" x14ac:dyDescent="0.3">
      <c r="A11" t="s">
        <v>107</v>
      </c>
      <c r="B11">
        <v>1951</v>
      </c>
      <c r="C11">
        <f t="shared" si="0"/>
        <v>74</v>
      </c>
      <c r="D11" t="s">
        <v>44</v>
      </c>
      <c r="E11" t="s">
        <v>50</v>
      </c>
      <c r="F11" t="s">
        <v>46</v>
      </c>
      <c r="G11" t="s">
        <v>86</v>
      </c>
      <c r="H11" t="s">
        <v>101</v>
      </c>
      <c r="I11" t="s">
        <v>70</v>
      </c>
      <c r="J11" s="2"/>
      <c r="L11" t="s">
        <v>109</v>
      </c>
      <c r="R11" t="s">
        <v>108</v>
      </c>
      <c r="W11">
        <v>0</v>
      </c>
      <c r="X11">
        <v>0</v>
      </c>
      <c r="Y11">
        <f>(10+8+8+10)*11</f>
        <v>396</v>
      </c>
      <c r="Z11">
        <v>0</v>
      </c>
      <c r="AA11">
        <v>0</v>
      </c>
      <c r="AB11">
        <v>0</v>
      </c>
      <c r="AC11">
        <v>0</v>
      </c>
      <c r="AD11">
        <v>0</v>
      </c>
      <c r="AE11">
        <v>0</v>
      </c>
      <c r="AF11">
        <v>0</v>
      </c>
      <c r="AG11">
        <v>0</v>
      </c>
      <c r="AH11">
        <v>0</v>
      </c>
      <c r="AI11">
        <v>0</v>
      </c>
      <c r="AJ11">
        <f t="shared" si="7"/>
        <v>396</v>
      </c>
      <c r="AK11">
        <f t="shared" si="8"/>
        <v>396</v>
      </c>
      <c r="AL11">
        <f t="shared" si="9"/>
        <v>0</v>
      </c>
      <c r="AM11">
        <f t="shared" si="10"/>
        <v>0</v>
      </c>
      <c r="AN11">
        <f t="shared" si="11"/>
        <v>0</v>
      </c>
      <c r="AO11">
        <f t="shared" si="12"/>
        <v>0</v>
      </c>
    </row>
    <row r="12" spans="1:41" x14ac:dyDescent="0.3">
      <c r="A12" t="s">
        <v>87</v>
      </c>
      <c r="B12">
        <v>1985</v>
      </c>
      <c r="C12">
        <f t="shared" si="0"/>
        <v>40</v>
      </c>
      <c r="D12" t="s">
        <v>44</v>
      </c>
      <c r="E12" t="s">
        <v>50</v>
      </c>
      <c r="F12" t="s">
        <v>46</v>
      </c>
      <c r="G12" t="s">
        <v>91</v>
      </c>
      <c r="H12" t="s">
        <v>56</v>
      </c>
      <c r="I12" t="s">
        <v>70</v>
      </c>
      <c r="P12" t="s">
        <v>88</v>
      </c>
      <c r="U12" t="s">
        <v>89</v>
      </c>
      <c r="W12">
        <v>0</v>
      </c>
      <c r="X12">
        <v>0</v>
      </c>
      <c r="Y12">
        <v>0</v>
      </c>
      <c r="Z12">
        <v>0</v>
      </c>
      <c r="AA12">
        <v>0</v>
      </c>
      <c r="AB12">
        <v>0</v>
      </c>
      <c r="AC12">
        <f>(8+8+10+7)*7</f>
        <v>231</v>
      </c>
      <c r="AD12">
        <v>0</v>
      </c>
      <c r="AE12">
        <v>0</v>
      </c>
      <c r="AF12">
        <v>0</v>
      </c>
      <c r="AG12">
        <v>0</v>
      </c>
      <c r="AH12">
        <f>5*2</f>
        <v>10</v>
      </c>
      <c r="AI12">
        <v>0</v>
      </c>
      <c r="AJ12">
        <f t="shared" ref="AJ12:AJ14" si="13">SUM(AK12:AO12)</f>
        <v>241</v>
      </c>
      <c r="AK12">
        <f t="shared" ref="AK12:AK14" si="14">SUM(W12:Y12)</f>
        <v>0</v>
      </c>
      <c r="AL12">
        <f t="shared" ref="AL12:AL14" si="15">SUM(Z12:AC12)</f>
        <v>231</v>
      </c>
      <c r="AM12">
        <f t="shared" ref="AM12:AM14" si="16">SUM(AD12:AE12)</f>
        <v>0</v>
      </c>
      <c r="AN12">
        <f t="shared" ref="AN12:AN14" si="17">SUM(AF12:AG12)</f>
        <v>0</v>
      </c>
      <c r="AO12">
        <f t="shared" ref="AO12:AO14" si="18">SUM(AH12:AI12)</f>
        <v>10</v>
      </c>
    </row>
    <row r="13" spans="1:41" x14ac:dyDescent="0.3">
      <c r="A13" t="s">
        <v>90</v>
      </c>
      <c r="B13">
        <v>1967</v>
      </c>
      <c r="C13">
        <f t="shared" si="0"/>
        <v>58</v>
      </c>
      <c r="D13" t="s">
        <v>44</v>
      </c>
      <c r="E13" t="s">
        <v>50</v>
      </c>
      <c r="F13" t="s">
        <v>46</v>
      </c>
      <c r="G13" t="s">
        <v>92</v>
      </c>
      <c r="H13" t="s">
        <v>56</v>
      </c>
      <c r="I13" t="s">
        <v>70</v>
      </c>
      <c r="R13" t="s">
        <v>94</v>
      </c>
      <c r="S13" t="s">
        <v>93</v>
      </c>
      <c r="U13" t="s">
        <v>95</v>
      </c>
      <c r="W13">
        <v>0</v>
      </c>
      <c r="X13">
        <v>0</v>
      </c>
      <c r="Y13">
        <v>0</v>
      </c>
      <c r="Z13">
        <v>0</v>
      </c>
      <c r="AA13">
        <v>0</v>
      </c>
      <c r="AB13">
        <v>0</v>
      </c>
      <c r="AC13">
        <v>0</v>
      </c>
      <c r="AD13">
        <v>0</v>
      </c>
      <c r="AE13">
        <f>(10+9)*5</f>
        <v>95</v>
      </c>
      <c r="AF13">
        <f>(10+9)*4</f>
        <v>76</v>
      </c>
      <c r="AG13">
        <v>0</v>
      </c>
      <c r="AH13">
        <f>8*2</f>
        <v>16</v>
      </c>
      <c r="AI13">
        <v>0</v>
      </c>
      <c r="AJ13">
        <f t="shared" si="13"/>
        <v>187</v>
      </c>
      <c r="AK13">
        <f t="shared" si="14"/>
        <v>0</v>
      </c>
      <c r="AL13">
        <f t="shared" si="15"/>
        <v>0</v>
      </c>
      <c r="AM13">
        <f t="shared" si="16"/>
        <v>95</v>
      </c>
      <c r="AN13">
        <f t="shared" si="17"/>
        <v>76</v>
      </c>
      <c r="AO13">
        <f t="shared" si="18"/>
        <v>16</v>
      </c>
    </row>
    <row r="14" spans="1:41" x14ac:dyDescent="0.3">
      <c r="A14" t="s">
        <v>96</v>
      </c>
      <c r="B14">
        <v>1959</v>
      </c>
      <c r="C14">
        <f t="shared" si="0"/>
        <v>66</v>
      </c>
      <c r="D14" t="s">
        <v>43</v>
      </c>
      <c r="E14" t="s">
        <v>50</v>
      </c>
      <c r="F14" t="s">
        <v>46</v>
      </c>
      <c r="G14" t="s">
        <v>97</v>
      </c>
      <c r="H14" t="s">
        <v>56</v>
      </c>
      <c r="I14" t="s">
        <v>70</v>
      </c>
      <c r="P14" t="s">
        <v>98</v>
      </c>
      <c r="R14" t="s">
        <v>99</v>
      </c>
      <c r="W14">
        <v>0</v>
      </c>
      <c r="X14">
        <v>0</v>
      </c>
      <c r="Y14">
        <v>0</v>
      </c>
      <c r="Z14">
        <v>0</v>
      </c>
      <c r="AA14">
        <v>0</v>
      </c>
      <c r="AB14">
        <v>0</v>
      </c>
      <c r="AC14">
        <f>8*7</f>
        <v>56</v>
      </c>
      <c r="AD14">
        <v>0</v>
      </c>
      <c r="AE14">
        <f>9*5</f>
        <v>45</v>
      </c>
      <c r="AF14">
        <v>0</v>
      </c>
      <c r="AG14">
        <v>0</v>
      </c>
      <c r="AH14">
        <v>0</v>
      </c>
      <c r="AI14">
        <v>0</v>
      </c>
      <c r="AJ14">
        <f t="shared" si="13"/>
        <v>101</v>
      </c>
      <c r="AK14">
        <f t="shared" si="14"/>
        <v>0</v>
      </c>
      <c r="AL14">
        <f t="shared" si="15"/>
        <v>56</v>
      </c>
      <c r="AM14">
        <f t="shared" si="16"/>
        <v>45</v>
      </c>
      <c r="AN14">
        <f t="shared" si="17"/>
        <v>0</v>
      </c>
      <c r="AO14">
        <f t="shared" si="18"/>
        <v>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Bustos Najera</dc:creator>
  <cp:lastModifiedBy>Eduardo Bustos Najera</cp:lastModifiedBy>
  <dcterms:created xsi:type="dcterms:W3CDTF">2025-09-01T19:59:27Z</dcterms:created>
  <dcterms:modified xsi:type="dcterms:W3CDTF">2025-09-12T00:04:45Z</dcterms:modified>
</cp:coreProperties>
</file>